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rpus" sheetId="2" state="visible" r:id="rId2"/>
    <sheet xmlns:r="http://schemas.openxmlformats.org/officeDocument/2006/relationships" name="L1_Direct" sheetId="3" state="visible" r:id="rId3"/>
    <sheet xmlns:r="http://schemas.openxmlformats.org/officeDocument/2006/relationships" name="L2_TV" sheetId="4" state="visible" r:id="rId4"/>
    <sheet xmlns:r="http://schemas.openxmlformats.org/officeDocument/2006/relationships" name="L3_NFP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Conclu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:SS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color rgb="000000FF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 wrapText="1"/>
    </xf>
    <xf numFmtId="0" fontId="5" fillId="0" borderId="0" pivotButton="0" quotePrefix="0" xfId="0"/>
    <xf numFmtId="0" fontId="2" fillId="4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2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2" fontId="3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pivotButton="0" quotePrefix="0" xfId="0"/>
    <xf numFmtId="2" fontId="2" fillId="4" borderId="1" pivotButton="0" quotePrefix="0" xfId="0"/>
    <xf numFmtId="0" fontId="3" fillId="4" borderId="1" pivotButton="0" quotePrefix="0" xfId="0"/>
    <xf numFmtId="2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2" fillId="0" borderId="0" pivotButton="0" quotePrefix="0" xfId="0"/>
    <xf numFmtId="0" fontId="7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Clock Evidence Review — data/mt5/XAUUSD_M15.csv</t>
        </is>
      </c>
    </row>
    <row r="2">
      <c r="A2" s="2" t="inlineStr"/>
    </row>
    <row r="3">
      <c r="A3" s="3" t="inlineStr">
        <is>
          <t>PURPOSE</t>
        </is>
      </c>
    </row>
    <row r="4" ht="42" customHeight="1">
      <c r="A4" s="2" t="inlineStr">
        <is>
          <t>Establish what clock every timestamp in this corpus is written in, to a standard sufficient to sign user_reviewed in configs/data_provenance/ohlcv_clock_registry.json.</t>
        </is>
      </c>
    </row>
    <row r="5">
      <c r="A5" s="2" t="inlineStr"/>
    </row>
    <row r="6">
      <c r="A6" s="3" t="inlineStr">
        <is>
          <t>TWO QUESTIONS — KEEP THEM SEPARATE</t>
        </is>
      </c>
    </row>
    <row r="7">
      <c r="A7" s="2" t="inlineStr">
        <is>
          <t>A. What does the timestamp physically mean?  -&gt; This workbook. A measurement.</t>
        </is>
      </c>
    </row>
    <row r="8">
      <c r="A8" s="2" t="inlineStr">
        <is>
          <t>B. Should the pipeline convert it to UTC?     -&gt; feature_pipeline.session_timestamp_basis. A governance decision, default broker_local.</t>
        </is>
      </c>
    </row>
    <row r="9">
      <c r="A9" s="4" t="inlineStr">
        <is>
          <t>Signing this workbook answers A only. It activates no conversion.</t>
        </is>
      </c>
    </row>
    <row r="10">
      <c r="A10" s="2" t="inlineStr"/>
    </row>
    <row r="11">
      <c r="A11" s="3" t="inlineStr">
        <is>
          <t>THE EVIDENCE CHAIN THIS WORKBOOK ENFORCES</t>
        </is>
      </c>
    </row>
    <row r="12">
      <c r="A12" s="2" t="inlineStr">
        <is>
          <t xml:space="preserve">   MT5 terminal observation  -&gt;  human records it here  -&gt;  independent check  -&gt;  evidence conclusion  -&gt;  governance decision</t>
        </is>
      </c>
    </row>
    <row r="13">
      <c r="A13" s="2" t="inlineStr">
        <is>
          <t>NOT:  code -&gt; script -&gt; script says PASS -&gt; governance</t>
        </is>
      </c>
    </row>
    <row r="14">
      <c r="A14" s="2" t="inlineStr"/>
    </row>
    <row r="15">
      <c r="A15" s="3" t="inlineStr">
        <is>
          <t>WHY THE 'Produced By' COLUMN EXISTS</t>
        </is>
      </c>
    </row>
    <row r="16">
      <c r="A16" s="2" t="inlineStr">
        <is>
          <t>Levels 2-4 were produced by the assistant. The assistant re-checking its own measurements is consistency, not independence — the same objection that applies to broker_clock.py agreeing with them. Only rows marked HUMAN are independent of the assistant, and only those can carry an independent PASS.</t>
        </is>
      </c>
    </row>
    <row r="17" ht="42" customHeight="1">
      <c r="A17" s="2" t="inlineStr"/>
    </row>
    <row r="18">
      <c r="A18" s="3" t="inlineStr">
        <is>
          <t>HOW TO USE</t>
        </is>
      </c>
    </row>
    <row r="19">
      <c r="A19" s="2" t="inlineStr">
        <is>
          <t>1. Fill the YELLOW cells only. Yellow = you. Grey = assistant-produced, do not overwrite.</t>
        </is>
      </c>
    </row>
    <row r="20">
      <c r="A20" s="2" t="inlineStr">
        <is>
          <t>2. Take the Level 1 readings on the 'L1_Direct' tab. That tab is the point of the exercise.</t>
        </is>
      </c>
    </row>
    <row r="21">
      <c r="A21" s="2" t="inlineStr">
        <is>
          <t>3. Set every Status on the 'Review' tab: PASS / FAIL / NOT OBSERVED / NOT APPLICABLE.</t>
        </is>
      </c>
    </row>
    <row r="22">
      <c r="A22" s="2" t="inlineStr">
        <is>
          <t>4. Write and sign the 'Conclusion' tab.</t>
        </is>
      </c>
    </row>
    <row r="23">
      <c r="A23" s="4" t="inlineStr">
        <is>
          <t>5. Do NOT edit data/mt5/XAUUSD_M15.csv. This workbook is the evidence layer, never the source data.</t>
        </is>
      </c>
    </row>
    <row r="24" ht="42" customHeight="1">
      <c r="A24" s="2" t="inlineStr"/>
    </row>
    <row r="25">
      <c r="A25" s="3" t="inlineStr">
        <is>
          <t>STATUS VOCABULARY</t>
        </is>
      </c>
    </row>
    <row r="26">
      <c r="A26" s="2" t="inlineStr">
        <is>
          <t>PASS            — observed, and it matches the expectation</t>
        </is>
      </c>
    </row>
    <row r="27">
      <c r="A27" s="2" t="inlineStr">
        <is>
          <t>FAIL            — observed, and it contradicts the expectation</t>
        </is>
      </c>
    </row>
    <row r="28">
      <c r="A28" s="2" t="inlineStr">
        <is>
          <t>NOT OBSERVED    — no observation was made (this is the honest default, not a failure)</t>
        </is>
      </c>
    </row>
    <row r="29">
      <c r="A29" s="2" t="inlineStr">
        <is>
          <t>NOT APPLICABLE  — the check does not apply to this corpus</t>
        </is>
      </c>
    </row>
    <row r="30">
      <c r="A30" s="2" t="inlineStr"/>
    </row>
    <row r="31">
      <c r="A31" s="3" t="inlineStr">
        <is>
          <t>SCOPE</t>
        </is>
      </c>
    </row>
    <row r="32">
      <c r="A32" s="2" t="inlineStr">
        <is>
          <t>This workbook certifies data/mt5/XAUUSD_M15.csv ONLY. The five other MT5 corpora pass the same Level-3 test and are probably the same export, but that is not a measurement. Each needs its own workbook. Do not bulk-declare. Binance *USDT* corpora are unverified.</t>
        </is>
      </c>
    </row>
    <row r="33" ht="4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6" customWidth="1" min="2" max="2"/>
  </cols>
  <sheetData>
    <row r="1">
      <c r="A1" s="5" t="inlineStr">
        <is>
          <t>Corpus identity</t>
        </is>
      </c>
    </row>
    <row r="3">
      <c r="A3" s="6" t="inlineStr">
        <is>
          <t>path</t>
        </is>
      </c>
      <c r="B3" s="2" t="inlineStr">
        <is>
          <t>data/mt5/XAUUSD_M15.csv</t>
        </is>
      </c>
    </row>
    <row r="4">
      <c r="A4" s="6" t="inlineStr">
        <is>
          <t>sha256</t>
        </is>
      </c>
      <c r="B4" s="2" t="inlineStr">
        <is>
          <t>4d73f5cebe33ec91c5312340337eb62c2cf1f49060c91c42761bf631b26aba56</t>
        </is>
      </c>
    </row>
    <row r="5">
      <c r="A5" s="6" t="inlineStr">
        <is>
          <t>rows</t>
        </is>
      </c>
      <c r="B5" s="2" t="n">
        <v>47275</v>
      </c>
    </row>
    <row r="6">
      <c r="A6" s="6" t="inlineStr">
        <is>
          <t>span (corpus labels)</t>
        </is>
      </c>
      <c r="B6" s="2" t="inlineStr">
        <is>
          <t>2024-05-22 01:00:00 .. 2026-05-21 23:45:00</t>
        </is>
      </c>
    </row>
    <row r="7">
      <c r="A7" s="6" t="inlineStr">
        <is>
          <t>symbol / timeframe</t>
        </is>
      </c>
      <c r="B7" s="2" t="inlineStr">
        <is>
          <t>XAUUSD / M15</t>
        </is>
      </c>
    </row>
    <row r="8">
      <c r="A8" s="6" t="inlineStr">
        <is>
          <t>broker (from sibling xlsx provenance)</t>
        </is>
      </c>
      <c r="B8" s="2" t="inlineStr">
        <is>
          <t>Raw Trading Ltd — server ICMarketsSC-Demo</t>
        </is>
      </c>
    </row>
    <row r="9">
      <c r="A9" s="6" t="inlineStr">
        <is>
          <t>registry state at time of review</t>
        </is>
      </c>
      <c r="B9" s="2" t="inlineStr">
        <is>
          <t>timezone: "", user_reviewed: false</t>
        </is>
      </c>
    </row>
    <row r="10">
      <c r="A10" s="6" t="inlineStr">
        <is>
          <t>detector verdict</t>
        </is>
      </c>
      <c r="B10" s="2" t="inlineStr">
        <is>
          <t>INCONCLUSIVE (low) — 'no declared-UTC reference corpus'</t>
        </is>
      </c>
    </row>
    <row r="11">
      <c r="A11" s="6" t="inlineStr">
        <is>
          <t>daily boundary observed</t>
        </is>
      </c>
      <c r="B11" s="2" t="inlineStr">
        <is>
          <t>01:00 -&gt; 23:45 server, holds through the US/EU DST-mismatch window</t>
        </is>
      </c>
    </row>
    <row r="14">
      <c r="A14" s="7" t="inlineStr">
        <is>
          <t>Until this workbook is signed, do not call these timestamps UTC. Call them MT5 broker-server labels.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1" customWidth="1" min="8" max="8"/>
    <col width="16" customWidth="1" min="9" max="9"/>
    <col width="16" customWidth="1" min="10" max="10"/>
    <col width="34" customWidth="1" min="11" max="11"/>
  </cols>
  <sheetData>
    <row r="1">
      <c r="A1" s="5" t="inlineStr">
        <is>
          <t>LEVEL 1 — Direct observation: MT5 terminal clock vs independent UTC</t>
        </is>
      </c>
    </row>
    <row r="2" ht="46" customHeight="1">
      <c r="A2" s="8" t="inlineStr">
        <is>
          <t>The only evidence here that does not route through the repository or the assistant. Open the same MT5 terminal/server that produced this export and read both clocks at the same instant. One summer reading alone proves only 'August offset = +3' — it does NOT establish a DST-tracking server. A winter reading is required.</t>
        </is>
      </c>
    </row>
    <row r="4">
      <c r="A4" s="9" t="inlineStr">
        <is>
          <t>Obs ID</t>
        </is>
      </c>
      <c r="B4" s="9" t="inlineStr">
        <is>
          <t>Season / window</t>
        </is>
      </c>
      <c r="C4" s="9" t="inlineStr">
        <is>
          <t>Observation date</t>
        </is>
      </c>
      <c r="D4" s="9" t="inlineStr">
        <is>
          <t>MT5 server clock</t>
        </is>
      </c>
      <c r="E4" s="9" t="inlineStr">
        <is>
          <t>Independent UTC clock</t>
        </is>
      </c>
      <c r="F4" s="9" t="inlineStr">
        <is>
          <t>UTC source used</t>
        </is>
      </c>
      <c r="G4" s="9" t="inlineStr">
        <is>
          <t>Measured offset (h)</t>
        </is>
      </c>
      <c r="H4" s="9" t="inlineStr">
        <is>
          <t>Expected</t>
        </is>
      </c>
      <c r="I4" s="9" t="inlineStr">
        <is>
          <t>Status</t>
        </is>
      </c>
      <c r="J4" s="9" t="inlineStr">
        <is>
          <t>Observer</t>
        </is>
      </c>
      <c r="K4" s="9" t="inlineStr">
        <is>
          <t>Notes</t>
        </is>
      </c>
    </row>
    <row r="5">
      <c r="A5" s="10" t="inlineStr">
        <is>
          <t>EXAMPLE</t>
        </is>
      </c>
      <c r="B5" s="10" t="inlineStr">
        <is>
          <t>(example row — overwrite or delete)</t>
        </is>
      </c>
      <c r="C5" s="10" t="inlineStr">
        <is>
          <t>2026-08-15</t>
        </is>
      </c>
      <c r="D5" s="11" t="n">
        <v>0.8584027777777777</v>
      </c>
      <c r="E5" s="11" t="n">
        <v>0.7334027777777777</v>
      </c>
      <c r="F5" s="10" t="inlineStr">
        <is>
          <t>time.is/UTC</t>
        </is>
      </c>
      <c r="G5" s="10">
        <f>IF(OR(ISBLANK(D5),ISBLANK(E5)),"",ROUND((D5-E5)*24,2))</f>
        <v/>
      </c>
      <c r="H5" s="10" t="inlineStr">
        <is>
          <t>+3</t>
        </is>
      </c>
      <c r="I5" s="10" t="inlineStr">
        <is>
          <t>PASS</t>
        </is>
      </c>
      <c r="J5" s="10" t="inlineStr">
        <is>
          <t>A. Reviewer</t>
        </is>
      </c>
      <c r="K5" s="10" t="inlineStr">
        <is>
          <t>example only — not evidence</t>
        </is>
      </c>
    </row>
    <row r="6">
      <c r="A6" s="12" t="inlineStr">
        <is>
          <t>L1-A</t>
        </is>
      </c>
      <c r="B6" s="12" t="inlineStr">
        <is>
          <t>WINTER (US standard)</t>
        </is>
      </c>
      <c r="C6" s="13" t="n"/>
      <c r="D6" s="14" t="n"/>
      <c r="E6" s="14" t="n"/>
      <c r="F6" s="13" t="n"/>
      <c r="G6" s="10">
        <f>IF(OR(ISBLANK(D6),ISBLANK(E6)),"",ROUND((D6-E6)*24,2))</f>
        <v/>
      </c>
      <c r="H6" s="12" t="inlineStr">
        <is>
          <t>+2</t>
        </is>
      </c>
      <c r="I6" s="13" t="inlineStr">
        <is>
          <t>NOT OBSERVED</t>
        </is>
      </c>
      <c r="J6" s="13" t="n"/>
      <c r="K6" s="13" t="n"/>
    </row>
    <row r="7">
      <c r="A7" s="12" t="inlineStr">
        <is>
          <t>L1-B</t>
        </is>
      </c>
      <c r="B7" s="12" t="inlineStr">
        <is>
          <t>SUMMER (US DST)</t>
        </is>
      </c>
      <c r="C7" s="13" t="n"/>
      <c r="D7" s="14" t="n"/>
      <c r="E7" s="14" t="n"/>
      <c r="F7" s="13" t="n"/>
      <c r="G7" s="10">
        <f>IF(OR(ISBLANK(D7),ISBLANK(E7)),"",ROUND((D7-E7)*24,2))</f>
        <v/>
      </c>
      <c r="H7" s="12" t="inlineStr">
        <is>
          <t>+3</t>
        </is>
      </c>
      <c r="I7" s="13" t="inlineStr">
        <is>
          <t>NOT OBSERVED</t>
        </is>
      </c>
      <c r="J7" s="13" t="n"/>
      <c r="K7" s="13" t="n"/>
    </row>
    <row r="8">
      <c r="A8" s="12" t="inlineStr">
        <is>
          <t>L1-C</t>
        </is>
      </c>
      <c r="B8" s="12" t="inlineStr">
        <is>
          <t>US-DST on / EU-DST off window (approx Mar 8-29)</t>
        </is>
      </c>
      <c r="C8" s="13" t="n"/>
      <c r="D8" s="14" t="n"/>
      <c r="E8" s="14" t="n"/>
      <c r="F8" s="13" t="n"/>
      <c r="G8" s="10">
        <f>IF(OR(ISBLANK(D8),ISBLANK(E8)),"",ROUND((D8-E8)*24,2))</f>
        <v/>
      </c>
      <c r="H8" s="12" t="inlineStr">
        <is>
          <t>+3</t>
        </is>
      </c>
      <c r="I8" s="13" t="inlineStr">
        <is>
          <t>NOT OBSERVED</t>
        </is>
      </c>
      <c r="J8" s="13" t="n"/>
      <c r="K8" s="13" t="inlineStr">
        <is>
          <t>discriminates America/New_York from Europe/*</t>
        </is>
      </c>
    </row>
    <row r="9">
      <c r="A9" s="12" t="inlineStr">
        <is>
          <t>L1-D</t>
        </is>
      </c>
      <c r="B9" s="12" t="inlineStr">
        <is>
          <t>Broker published server time (vendor doc)</t>
        </is>
      </c>
      <c r="C9" s="13" t="n"/>
      <c r="D9" s="14" t="n"/>
      <c r="E9" s="14" t="n"/>
      <c r="F9" s="13" t="n"/>
      <c r="G9" s="10">
        <f>IF(OR(ISBLANK(D9),ISBLANK(E9)),"",ROUND((D9-E9)*24,2))</f>
        <v/>
      </c>
      <c r="H9" s="12" t="inlineStr">
        <is>
          <t>+3 / +2</t>
        </is>
      </c>
      <c r="I9" s="13" t="inlineStr">
        <is>
          <t>NOT OBSERVED</t>
        </is>
      </c>
      <c r="J9" s="13" t="n"/>
      <c r="K9" s="13" t="inlineStr">
        <is>
          <t>second independent read, not a terminal reading</t>
        </is>
      </c>
    </row>
    <row r="11">
      <c r="A11" s="15" t="inlineStr">
        <is>
          <t>Column G is a formula: (MT5 clock − UTC clock) × 24, rounded. Enter both readings as times (HH:MM:SS) — columns D and E are time-formatted — and it computes the offset. If a reading straddles midnight the two clocks fall on different calendar days; enter full date-times in that case, or add the offset by hand and note it.</t>
        </is>
      </c>
    </row>
  </sheetData>
  <dataValidations count="1">
    <dataValidation sqref="I6:I9" showDropDown="0" showInputMessage="0" showErrorMessage="0" allowBlank="1" type="list">
      <formula1>"PASS,FAIL,NOT OBSERVED,NOT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3" customWidth="1" min="4" max="4"/>
    <col width="12" customWidth="1" min="5" max="5"/>
    <col width="14" customWidth="1" min="6" max="6"/>
    <col width="10" customWidth="1" min="7" max="7"/>
    <col width="17" customWidth="1" min="8" max="8"/>
    <col width="46" customWidth="1" min="9" max="9"/>
  </cols>
  <sheetData>
    <row r="1">
      <c r="A1" s="5" t="inlineStr">
        <is>
          <t>LEVEL 2 — Independent UTC-timestamped feed (ASSISTANT-PRODUCED)</t>
        </is>
      </c>
    </row>
    <row r="2" ht="52" customHeight="1">
      <c r="A2" s="8" t="inlineStr">
        <is>
          <t>tools/tv_forensic/measure_corpus_clock.py vs TradingView served in Etc/UTC. Raw output: results/corpus_clock_evidence.json. NOT a test of price equality — OANDA and IC Markets are different feeds and differ by ~0.1-0.6. The test is that the correct offset agrees ~70x better than any other candidate; a whole-bar misalignment scores 40+. Structure, expressed numerically.</t>
        </is>
      </c>
    </row>
    <row r="4">
      <c r="A4" s="9" t="inlineStr">
        <is>
          <t>Anchor date</t>
        </is>
      </c>
      <c r="B4" s="9" t="inlineStr">
        <is>
          <t>Regime</t>
        </is>
      </c>
      <c r="C4" s="9" t="inlineStr">
        <is>
          <t>Measured offset</t>
        </is>
      </c>
      <c r="D4" s="9" t="inlineStr">
        <is>
          <t>Mean abs err</t>
        </is>
      </c>
      <c r="E4" s="9" t="inlineStr">
        <is>
          <t>Runner-up</t>
        </is>
      </c>
      <c r="F4" s="9" t="inlineStr">
        <is>
          <t>Runner-up err</t>
        </is>
      </c>
      <c r="G4" s="9" t="inlineStr">
        <is>
          <t>Margin</t>
        </is>
      </c>
      <c r="H4" s="9" t="inlineStr">
        <is>
          <t>Reviewer status</t>
        </is>
      </c>
      <c r="I4" s="9" t="inlineStr">
        <is>
          <t>Notes</t>
        </is>
      </c>
    </row>
    <row r="5">
      <c r="A5" s="16" t="inlineStr">
        <is>
          <t>2026-01-15</t>
        </is>
      </c>
      <c r="B5" s="16" t="inlineStr">
        <is>
          <t>US standard</t>
        </is>
      </c>
      <c r="C5" s="16" t="inlineStr">
        <is>
          <t>UTC+2</t>
        </is>
      </c>
      <c r="D5" s="16" t="n">
        <v>0.707</v>
      </c>
      <c r="E5" s="16" t="inlineStr">
        <is>
          <t>UTC+10</t>
        </is>
      </c>
      <c r="F5" s="16" t="n">
        <v>42.3988</v>
      </c>
      <c r="G5" s="17">
        <f>IFERROR(ROUND(F5/D5,1),"")</f>
        <v/>
      </c>
      <c r="H5" s="18" t="inlineStr">
        <is>
          <t>NOT OBSERVED</t>
        </is>
      </c>
      <c r="I5" s="10" t="inlineStr"/>
    </row>
    <row r="6">
      <c r="A6" s="16" t="inlineStr">
        <is>
          <t>2026-03-16</t>
        </is>
      </c>
      <c r="B6" s="16" t="inlineStr">
        <is>
          <t>US DST on, EU DST off</t>
        </is>
      </c>
      <c r="C6" s="16" t="inlineStr">
        <is>
          <t>UTC+3</t>
        </is>
      </c>
      <c r="D6" s="16" t="n">
        <v>0.6363</v>
      </c>
      <c r="E6" s="16" t="inlineStr">
        <is>
          <t>UTC-3</t>
        </is>
      </c>
      <c r="F6" s="16" t="n">
        <v>44.9764</v>
      </c>
      <c r="G6" s="17">
        <f>IFERROR(ROUND(F6/D6,1),"")</f>
        <v/>
      </c>
      <c r="H6" s="18" t="inlineStr">
        <is>
          <t>NOT OBSERVED</t>
        </is>
      </c>
      <c r="I6" s="10" t="inlineStr">
        <is>
          <t>the US-vs-EU discriminator: an EU-DST server would read +2 here</t>
        </is>
      </c>
    </row>
    <row r="7">
      <c r="A7" s="16" t="inlineStr">
        <is>
          <t>2026-05-19</t>
        </is>
      </c>
      <c r="B7" s="16" t="inlineStr">
        <is>
          <t>US DST</t>
        </is>
      </c>
      <c r="C7" s="16" t="inlineStr">
        <is>
          <t>UTC+3</t>
        </is>
      </c>
      <c r="D7" s="16" t="n">
        <v>0.5738</v>
      </c>
      <c r="E7" s="16" t="inlineStr">
        <is>
          <t>UTC+2</t>
        </is>
      </c>
      <c r="F7" s="16" t="n">
        <v>41.665</v>
      </c>
      <c r="G7" s="17">
        <f>IFERROR(ROUND(F7/D7,1),"")</f>
        <v/>
      </c>
      <c r="H7" s="18" t="inlineStr">
        <is>
          <t>NOT OBSERVED</t>
        </is>
      </c>
      <c r="I7" s="10" t="inlineStr"/>
    </row>
    <row r="9">
      <c r="A9" s="15" t="inlineStr">
        <is>
          <t>Margin (col G) is a formula: runner-up error ÷ winning error. Higher is stronger. Decisiveness threshold used by the tool: 5x.</t>
        </is>
      </c>
    </row>
  </sheetData>
  <dataValidations count="1">
    <dataValidation sqref="H5:H7" showDropDown="0" showInputMessage="0" showErrorMessage="0" allowBlank="1" type="list">
      <formula1>"PASS,FAIL,NOT OBSERVED,NOT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>
      <c r="A1" s="5" t="inlineStr">
        <is>
          <t>LEVEL 3 — NFP invariant, corpus-internal (ASSISTANT-PRODUCED)</t>
        </is>
      </c>
    </row>
    <row r="2" ht="46" customHeight="1">
      <c r="A2" s="8" t="inlineStr">
        <is>
          <t>US Non-Farm Payrolls releases at 08:30 America/New_York year-round: summer = 12:30 UTC, winter = 13:30 UTC. A server at +3/+2 places BOTH at 15:30 server time. A fixed-offset server cannot. Elevation = (that slot's range) / (that day's median range), so a few misdated days cannot drive the result.</t>
        </is>
      </c>
    </row>
    <row r="4">
      <c r="A4" s="6" t="inlineStr">
        <is>
          <t>Three-way discriminator — XAUUSD</t>
        </is>
      </c>
    </row>
    <row r="5">
      <c r="A5" s="9" t="inlineStr">
        <is>
          <t>Slot</t>
        </is>
      </c>
      <c r="B5" s="9" t="inlineStr">
        <is>
          <t>Summer elev</t>
        </is>
      </c>
      <c r="C5" s="9" t="inlineStr">
        <is>
          <t>Winter elev</t>
        </is>
      </c>
      <c r="D5" s="9" t="inlineStr">
        <is>
          <t>A peak here would mean</t>
        </is>
      </c>
      <c r="E5" s="9" t="inlineStr">
        <is>
          <t>Verdict</t>
        </is>
      </c>
      <c r="F5" s="9" t="inlineStr">
        <is>
          <t>Reviewer status</t>
        </is>
      </c>
    </row>
    <row r="6">
      <c r="A6" s="16" t="inlineStr">
        <is>
          <t>14:30</t>
        </is>
      </c>
      <c r="B6" s="19" t="n">
        <v>1.16</v>
      </c>
      <c r="C6" s="19" t="n">
        <v>0.88</v>
      </c>
      <c r="D6" s="16" t="inlineStr">
        <is>
          <t>server fixed at UTC+2</t>
        </is>
      </c>
      <c r="E6" s="16" t="inlineStr">
        <is>
          <t>REJECTED</t>
        </is>
      </c>
      <c r="F6" s="18" t="inlineStr">
        <is>
          <t>NOT OBSERVED</t>
        </is>
      </c>
    </row>
    <row r="7">
      <c r="A7" s="20" t="inlineStr">
        <is>
          <t>15:30</t>
        </is>
      </c>
      <c r="B7" s="21" t="n">
        <v>6.05</v>
      </c>
      <c r="C7" s="21" t="n">
        <v>3.83</v>
      </c>
      <c r="D7" s="20" t="inlineStr">
        <is>
          <t>server tracks US DST (+3/+2)</t>
        </is>
      </c>
      <c r="E7" s="20" t="inlineStr">
        <is>
          <t>CONSISTENT</t>
        </is>
      </c>
      <c r="F7" s="22" t="inlineStr">
        <is>
          <t>NOT OBSERVED</t>
        </is>
      </c>
    </row>
    <row r="8">
      <c r="A8" s="16" t="inlineStr">
        <is>
          <t>16:30</t>
        </is>
      </c>
      <c r="B8" s="19" t="n">
        <v>2.92</v>
      </c>
      <c r="C8" s="19" t="n">
        <v>2.46</v>
      </c>
      <c r="D8" s="16" t="inlineStr">
        <is>
          <t>server fixed at UTC+3</t>
        </is>
      </c>
      <c r="E8" s="16" t="inlineStr">
        <is>
          <t>REJECTED</t>
        </is>
      </c>
      <c r="F8" s="18" t="inlineStr">
        <is>
          <t>NOT OBSERVED</t>
        </is>
      </c>
    </row>
    <row r="10">
      <c r="A10" s="6" t="inlineStr">
        <is>
          <t>Same test, every MT5 corpus (15:30 elevation, summer / winter)</t>
        </is>
      </c>
    </row>
    <row r="11">
      <c r="A11" s="9" t="inlineStr">
        <is>
          <t>Corpus</t>
        </is>
      </c>
      <c r="B11" s="9" t="inlineStr">
        <is>
          <t>Bars</t>
        </is>
      </c>
      <c r="C11" s="9" t="inlineStr">
        <is>
          <t>14:30 S</t>
        </is>
      </c>
      <c r="D11" s="9" t="inlineStr">
        <is>
          <t>14:30 W</t>
        </is>
      </c>
      <c r="E11" s="9" t="inlineStr">
        <is>
          <t>15:30 S</t>
        </is>
      </c>
      <c r="F11" s="9" t="inlineStr">
        <is>
          <t>15:30 W</t>
        </is>
      </c>
      <c r="G11" s="9" t="inlineStr">
        <is>
          <t>16:30 S</t>
        </is>
      </c>
      <c r="H11" s="9" t="inlineStr">
        <is>
          <t>16:30 W</t>
        </is>
      </c>
      <c r="I11" s="9" t="inlineStr">
        <is>
          <t>Signature</t>
        </is>
      </c>
    </row>
    <row r="12">
      <c r="A12" s="23" t="inlineStr">
        <is>
          <t>AUDUSD</t>
        </is>
      </c>
      <c r="B12" s="23" t="n">
        <v>49722</v>
      </c>
      <c r="C12" s="24" t="n">
        <v>1.27</v>
      </c>
      <c r="D12" s="24" t="n">
        <v>0.92</v>
      </c>
      <c r="E12" s="24" t="n">
        <v>7.33</v>
      </c>
      <c r="F12" s="24" t="n">
        <v>5.88</v>
      </c>
      <c r="G12" s="24" t="n">
        <v>2.66</v>
      </c>
      <c r="H12" s="24" t="n">
        <v>2.57</v>
      </c>
      <c r="I12" s="23" t="inlineStr">
        <is>
          <t>US-DST (+3/+2)</t>
        </is>
      </c>
    </row>
    <row r="13">
      <c r="A13" s="23" t="inlineStr">
        <is>
          <t>EURCAD</t>
        </is>
      </c>
      <c r="B13" s="23" t="n">
        <v>49715</v>
      </c>
      <c r="C13" s="24" t="n">
        <v>1.37</v>
      </c>
      <c r="D13" s="24" t="n">
        <v>1.2</v>
      </c>
      <c r="E13" s="24" t="n">
        <v>7.82</v>
      </c>
      <c r="F13" s="24" t="n">
        <v>7.71</v>
      </c>
      <c r="G13" s="24" t="n">
        <v>2.39</v>
      </c>
      <c r="H13" s="24" t="n">
        <v>3.12</v>
      </c>
      <c r="I13" s="23" t="inlineStr">
        <is>
          <t>US-DST (+3/+2)</t>
        </is>
      </c>
    </row>
    <row r="14">
      <c r="A14" s="23" t="inlineStr">
        <is>
          <t>EURUSD</t>
        </is>
      </c>
      <c r="B14" s="23" t="n">
        <v>49721</v>
      </c>
      <c r="C14" s="24" t="n">
        <v>1.35</v>
      </c>
      <c r="D14" s="24" t="n">
        <v>0.97</v>
      </c>
      <c r="E14" s="24" t="n">
        <v>9.390000000000001</v>
      </c>
      <c r="F14" s="24" t="n">
        <v>6.89</v>
      </c>
      <c r="G14" s="24" t="n">
        <v>2.67</v>
      </c>
      <c r="H14" s="24" t="n">
        <v>2.53</v>
      </c>
      <c r="I14" s="23" t="inlineStr">
        <is>
          <t>US-DST (+3/+2)</t>
        </is>
      </c>
    </row>
    <row r="15">
      <c r="A15" s="23" t="inlineStr">
        <is>
          <t>GBPUSD</t>
        </is>
      </c>
      <c r="B15" s="23" t="n">
        <v>49716</v>
      </c>
      <c r="C15" s="24" t="n">
        <v>1.3</v>
      </c>
      <c r="D15" s="24" t="n">
        <v>1.1</v>
      </c>
      <c r="E15" s="24" t="n">
        <v>8.08</v>
      </c>
      <c r="F15" s="24" t="n">
        <v>6.51</v>
      </c>
      <c r="G15" s="24" t="n">
        <v>2.72</v>
      </c>
      <c r="H15" s="24" t="n">
        <v>2.22</v>
      </c>
      <c r="I15" s="23" t="inlineStr">
        <is>
          <t>US-DST (+3/+2)</t>
        </is>
      </c>
    </row>
    <row r="16">
      <c r="A16" s="23" t="inlineStr">
        <is>
          <t>USDJPY</t>
        </is>
      </c>
      <c r="B16" s="23" t="n">
        <v>49716</v>
      </c>
      <c r="C16" s="24" t="n">
        <v>0.9</v>
      </c>
      <c r="D16" s="24" t="n">
        <v>0.95</v>
      </c>
      <c r="E16" s="24" t="n">
        <v>8.41</v>
      </c>
      <c r="F16" s="24" t="n">
        <v>4.77</v>
      </c>
      <c r="G16" s="24" t="n">
        <v>2.14</v>
      </c>
      <c r="H16" s="24" t="n">
        <v>2.67</v>
      </c>
      <c r="I16" s="23" t="inlineStr">
        <is>
          <t>US-DST (+3/+2)</t>
        </is>
      </c>
    </row>
    <row r="17">
      <c r="A17" s="25" t="inlineStr">
        <is>
          <t>XAUUSD</t>
        </is>
      </c>
      <c r="B17" s="25" t="n">
        <v>47275</v>
      </c>
      <c r="C17" s="26" t="n">
        <v>1.16</v>
      </c>
      <c r="D17" s="26" t="n">
        <v>0.88</v>
      </c>
      <c r="E17" s="26" t="n">
        <v>6.05</v>
      </c>
      <c r="F17" s="26" t="n">
        <v>3.83</v>
      </c>
      <c r="G17" s="26" t="n">
        <v>2.92</v>
      </c>
      <c r="H17" s="26" t="n">
        <v>2.46</v>
      </c>
      <c r="I17" s="25" t="inlineStr">
        <is>
          <t>US-DST (+3/+2)</t>
        </is>
      </c>
    </row>
    <row r="19">
      <c r="A19" s="4" t="inlineStr">
        <is>
          <t>CALENDAR CAVEAT — VERIFY BEFORE SIGNING</t>
        </is>
      </c>
    </row>
    <row r="20" ht="46" customHeight="1">
      <c r="A20" s="2" t="inlineStr">
        <is>
          <t>NFP dates here are generated as 'first Friday of month, except January = second Friday'. That is the usual BLS pattern but is NOT authoritative — releases shift for holidays. Check bls.gov/schedule/news_release/empsit.htm. An earlier version of this analysis used plain first-Friday and wrongly counted 2025-01-03 and 2026-01-02 as NFP days.</t>
        </is>
      </c>
    </row>
    <row r="21">
      <c r="A21" s="4" t="inlineStr">
        <is>
          <t>KNOWN FAILURE MODE</t>
        </is>
      </c>
    </row>
    <row r="22" ht="46" customHeight="1">
      <c r="A22" s="2" t="inlineStr">
        <is>
          <t>Identifying NFP days by 'largest Friday range of the month' does NOT work from late 2025 on — gold volatility grew until NFP stopped being the largest monthly event (that method selects 2026-01-30, 2026-02-20, 2025-10-17, none of which are NFP). Use a real calendar.</t>
        </is>
      </c>
    </row>
  </sheetData>
  <dataValidations count="1">
    <dataValidation sqref="F6:F8" showDropDown="0" showInputMessage="0" showErrorMessage="0" allowBlank="1" type="list">
      <formula1>"PASS,FAIL,NOT OBSERVED,NOT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52" customWidth="1" min="3" max="3"/>
    <col width="13" customWidth="1" min="4" max="4"/>
    <col width="20" customWidth="1" min="5" max="5"/>
    <col width="15" customWidth="1" min="6" max="6"/>
    <col width="22" customWidth="1" min="7" max="7"/>
    <col width="17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REVIEW REGISTER — set a Status on every row</t>
        </is>
      </c>
    </row>
    <row r="3">
      <c r="A3" s="9" t="inlineStr">
        <is>
          <t>ID</t>
        </is>
      </c>
      <c r="B3" s="9" t="inlineStr">
        <is>
          <t>Level</t>
        </is>
      </c>
      <c r="C3" s="9" t="inlineStr">
        <is>
          <t>Evidence</t>
        </is>
      </c>
      <c r="D3" s="9" t="inlineStr">
        <is>
          <t>Produced by</t>
        </is>
      </c>
      <c r="E3" s="9" t="inlineStr">
        <is>
          <t>Independent of assistant?</t>
        </is>
      </c>
      <c r="F3" s="9" t="inlineStr">
        <is>
          <t>Expected</t>
        </is>
      </c>
      <c r="G3" s="9" t="inlineStr">
        <is>
          <t>Observed</t>
        </is>
      </c>
      <c r="H3" s="9" t="inlineStr">
        <is>
          <t>Status</t>
        </is>
      </c>
      <c r="I3" s="9" t="inlineStr">
        <is>
          <t>Reviewer</t>
        </is>
      </c>
      <c r="J3" s="9" t="inlineStr">
        <is>
          <t>Date</t>
        </is>
      </c>
      <c r="K3" s="9" t="inlineStr">
        <is>
          <t>Notes</t>
        </is>
      </c>
    </row>
    <row r="4">
      <c r="A4" s="16" t="inlineStr">
        <is>
          <t>L1-A</t>
        </is>
      </c>
      <c r="B4" s="16" t="n">
        <v>1</v>
      </c>
      <c r="C4" s="16" t="inlineStr">
        <is>
          <t>MT5 terminal vs UTC — winter</t>
        </is>
      </c>
      <c r="D4" s="16" t="inlineStr">
        <is>
          <t>HUMAN</t>
        </is>
      </c>
      <c r="E4" s="27" t="inlineStr">
        <is>
          <t>YES</t>
        </is>
      </c>
      <c r="F4" s="16" t="inlineStr">
        <is>
          <t>+2</t>
        </is>
      </c>
      <c r="G4" s="18" t="n"/>
      <c r="H4" s="18" t="inlineStr">
        <is>
          <t>NOT OBSERVED</t>
        </is>
      </c>
    </row>
    <row r="5">
      <c r="A5" s="16" t="inlineStr">
        <is>
          <t>L1-B</t>
        </is>
      </c>
      <c r="B5" s="16" t="n">
        <v>1</v>
      </c>
      <c r="C5" s="16" t="inlineStr">
        <is>
          <t>MT5 terminal vs UTC — summer</t>
        </is>
      </c>
      <c r="D5" s="16" t="inlineStr">
        <is>
          <t>HUMAN</t>
        </is>
      </c>
      <c r="E5" s="27" t="inlineStr">
        <is>
          <t>YES</t>
        </is>
      </c>
      <c r="F5" s="16" t="inlineStr">
        <is>
          <t>+3</t>
        </is>
      </c>
      <c r="G5" s="18" t="n"/>
      <c r="H5" s="18" t="inlineStr">
        <is>
          <t>NOT OBSERVED</t>
        </is>
      </c>
    </row>
    <row r="6">
      <c r="A6" s="16" t="inlineStr">
        <is>
          <t>L1-C</t>
        </is>
      </c>
      <c r="B6" s="16" t="n">
        <v>1</v>
      </c>
      <c r="C6" s="16" t="inlineStr">
        <is>
          <t>MT5 terminal vs UTC — US-DST-on/EU-DST-off window</t>
        </is>
      </c>
      <c r="D6" s="16" t="inlineStr">
        <is>
          <t>HUMAN</t>
        </is>
      </c>
      <c r="E6" s="27" t="inlineStr">
        <is>
          <t>YES</t>
        </is>
      </c>
      <c r="F6" s="16" t="inlineStr">
        <is>
          <t>+3</t>
        </is>
      </c>
      <c r="G6" s="18" t="n"/>
      <c r="H6" s="18" t="inlineStr">
        <is>
          <t>NOT OBSERVED</t>
        </is>
      </c>
    </row>
    <row r="7">
      <c r="A7" s="16" t="inlineStr">
        <is>
          <t>L1-D</t>
        </is>
      </c>
      <c r="B7" s="16" t="n">
        <v>1</v>
      </c>
      <c r="C7" s="16" t="inlineStr">
        <is>
          <t>Broker published server time (vendor doc)</t>
        </is>
      </c>
      <c r="D7" s="16" t="inlineStr">
        <is>
          <t>HUMAN</t>
        </is>
      </c>
      <c r="E7" s="27" t="inlineStr">
        <is>
          <t>YES</t>
        </is>
      </c>
      <c r="F7" s="16" t="inlineStr">
        <is>
          <t>+3 / +2</t>
        </is>
      </c>
      <c r="G7" s="18" t="n"/>
      <c r="H7" s="18" t="inlineStr">
        <is>
          <t>NOT OBSERVED</t>
        </is>
      </c>
    </row>
    <row r="8">
      <c r="A8" s="16" t="inlineStr">
        <is>
          <t>L2-A</t>
        </is>
      </c>
      <c r="B8" s="16" t="n">
        <v>2</v>
      </c>
      <c r="C8" s="16" t="inlineStr">
        <is>
          <t>TradingView UTC reference — 2026-01-15</t>
        </is>
      </c>
      <c r="D8" s="16" t="inlineStr">
        <is>
          <t>ASSISTANT</t>
        </is>
      </c>
      <c r="E8" s="16" t="inlineStr">
        <is>
          <t>NO</t>
        </is>
      </c>
      <c r="F8" s="16" t="inlineStr">
        <is>
          <t>+2</t>
        </is>
      </c>
      <c r="G8" s="16" t="inlineStr">
        <is>
          <t>+2 (err 0.707, 60x)</t>
        </is>
      </c>
      <c r="H8" s="18" t="inlineStr">
        <is>
          <t>NOT OBSERVED</t>
        </is>
      </c>
    </row>
    <row r="9">
      <c r="A9" s="16" t="inlineStr">
        <is>
          <t>L2-B</t>
        </is>
      </c>
      <c r="B9" s="16" t="n">
        <v>2</v>
      </c>
      <c r="C9" s="16" t="inlineStr">
        <is>
          <t>TradingView UTC reference — 2026-03-16 (US/EU discriminator)</t>
        </is>
      </c>
      <c r="D9" s="16" t="inlineStr">
        <is>
          <t>ASSISTANT</t>
        </is>
      </c>
      <c r="E9" s="16" t="inlineStr">
        <is>
          <t>NO</t>
        </is>
      </c>
      <c r="F9" s="16" t="inlineStr">
        <is>
          <t>+3</t>
        </is>
      </c>
      <c r="G9" s="16" t="inlineStr">
        <is>
          <t>+3 (err 0.636, 71x)</t>
        </is>
      </c>
      <c r="H9" s="18" t="inlineStr">
        <is>
          <t>NOT OBSERVED</t>
        </is>
      </c>
    </row>
    <row r="10">
      <c r="A10" s="16" t="inlineStr">
        <is>
          <t>L2-C</t>
        </is>
      </c>
      <c r="B10" s="16" t="n">
        <v>2</v>
      </c>
      <c r="C10" s="16" t="inlineStr">
        <is>
          <t>TradingView UTC reference — 2026-05-19</t>
        </is>
      </c>
      <c r="D10" s="16" t="inlineStr">
        <is>
          <t>ASSISTANT</t>
        </is>
      </c>
      <c r="E10" s="16" t="inlineStr">
        <is>
          <t>NO</t>
        </is>
      </c>
      <c r="F10" s="16" t="inlineStr">
        <is>
          <t>+3</t>
        </is>
      </c>
      <c r="G10" s="16" t="inlineStr">
        <is>
          <t>+3 (err 0.574, 73x)</t>
        </is>
      </c>
      <c r="H10" s="18" t="inlineStr">
        <is>
          <t>NOT OBSERVED</t>
        </is>
      </c>
    </row>
    <row r="11">
      <c r="A11" s="16" t="inlineStr">
        <is>
          <t>L3-A</t>
        </is>
      </c>
      <c r="B11" s="16" t="n">
        <v>3</v>
      </c>
      <c r="C11" s="16" t="inlineStr">
        <is>
          <t>NFP 15:30 elevated in SUMMER</t>
        </is>
      </c>
      <c r="D11" s="16" t="inlineStr">
        <is>
          <t>ASSISTANT</t>
        </is>
      </c>
      <c r="E11" s="16" t="inlineStr">
        <is>
          <t>NO</t>
        </is>
      </c>
      <c r="F11" s="16" t="inlineStr">
        <is>
          <t>is the peak</t>
        </is>
      </c>
      <c r="G11" s="16" t="inlineStr">
        <is>
          <t>6.05x</t>
        </is>
      </c>
      <c r="H11" s="18" t="inlineStr">
        <is>
          <t>NOT OBSERVED</t>
        </is>
      </c>
    </row>
    <row r="12">
      <c r="A12" s="16" t="inlineStr">
        <is>
          <t>L3-B</t>
        </is>
      </c>
      <c r="B12" s="16" t="n">
        <v>3</v>
      </c>
      <c r="C12" s="16" t="inlineStr">
        <is>
          <t>NFP 15:30 elevated in WINTER</t>
        </is>
      </c>
      <c r="D12" s="16" t="inlineStr">
        <is>
          <t>ASSISTANT</t>
        </is>
      </c>
      <c r="E12" s="16" t="inlineStr">
        <is>
          <t>NO</t>
        </is>
      </c>
      <c r="F12" s="16" t="inlineStr">
        <is>
          <t>is the peak</t>
        </is>
      </c>
      <c r="G12" s="16" t="inlineStr">
        <is>
          <t>3.83x</t>
        </is>
      </c>
      <c r="H12" s="18" t="inlineStr">
        <is>
          <t>NOT OBSERVED</t>
        </is>
      </c>
    </row>
    <row r="13">
      <c r="A13" s="16" t="inlineStr">
        <is>
          <t>L3-C</t>
        </is>
      </c>
      <c r="B13" s="16" t="n">
        <v>3</v>
      </c>
      <c r="C13" s="16" t="inlineStr">
        <is>
          <t>NFP 14:30 NOT the summer peak (rejects fixed +2)</t>
        </is>
      </c>
      <c r="D13" s="16" t="inlineStr">
        <is>
          <t>ASSISTANT</t>
        </is>
      </c>
      <c r="E13" s="16" t="inlineStr">
        <is>
          <t>NO</t>
        </is>
      </c>
      <c r="F13" s="16" t="inlineStr">
        <is>
          <t>not the peak</t>
        </is>
      </c>
      <c r="G13" s="16" t="inlineStr">
        <is>
          <t>1.16x / 0.88x</t>
        </is>
      </c>
      <c r="H13" s="18" t="inlineStr">
        <is>
          <t>NOT OBSERVED</t>
        </is>
      </c>
    </row>
    <row r="14">
      <c r="A14" s="16" t="inlineStr">
        <is>
          <t>L3-D</t>
        </is>
      </c>
      <c r="B14" s="16" t="n">
        <v>3</v>
      </c>
      <c r="C14" s="16" t="inlineStr">
        <is>
          <t>NFP 16:30 NOT the winter peak (rejects fixed +3)</t>
        </is>
      </c>
      <c r="D14" s="16" t="inlineStr">
        <is>
          <t>ASSISTANT</t>
        </is>
      </c>
      <c r="E14" s="16" t="inlineStr">
        <is>
          <t>NO</t>
        </is>
      </c>
      <c r="F14" s="16" t="inlineStr">
        <is>
          <t>not the peak</t>
        </is>
      </c>
      <c r="G14" s="16" t="inlineStr">
        <is>
          <t>2.92x / 2.46x</t>
        </is>
      </c>
      <c r="H14" s="18" t="inlineStr">
        <is>
          <t>NOT OBSERVED</t>
        </is>
      </c>
    </row>
    <row r="15">
      <c r="A15" s="16" t="inlineStr">
        <is>
          <t>L3-E</t>
        </is>
      </c>
      <c r="B15" s="16" t="n">
        <v>3</v>
      </c>
      <c r="C15" s="16" t="inlineStr">
        <is>
          <t>NFP calendar checked against bls.gov</t>
        </is>
      </c>
      <c r="D15" s="16" t="inlineStr">
        <is>
          <t>HUMAN</t>
        </is>
      </c>
      <c r="E15" s="27" t="inlineStr">
        <is>
          <t>YES</t>
        </is>
      </c>
      <c r="F15" s="16" t="inlineStr">
        <is>
          <t>dates confirmed</t>
        </is>
      </c>
      <c r="G15" s="18" t="n"/>
      <c r="H15" s="18" t="inlineStr">
        <is>
          <t>NOT OBSERVED</t>
        </is>
      </c>
    </row>
    <row r="16">
      <c r="A16" s="16" t="inlineStr">
        <is>
          <t>L4-A</t>
        </is>
      </c>
      <c r="B16" s="16" t="n">
        <v>4</v>
      </c>
      <c r="C16" s="16" t="inlineStr">
        <is>
          <t>Daily boundary 01:00-&gt;23:45 holds through DST-mismatch window</t>
        </is>
      </c>
      <c r="D16" s="16" t="inlineStr">
        <is>
          <t>DETECTOR</t>
        </is>
      </c>
      <c r="E16" s="16" t="inlineStr">
        <is>
          <t>NO</t>
        </is>
      </c>
      <c r="F16" s="16" t="inlineStr">
        <is>
          <t>holds</t>
        </is>
      </c>
      <c r="G16" s="16" t="inlineStr">
        <is>
          <t>holds</t>
        </is>
      </c>
      <c r="H16" s="18" t="inlineStr">
        <is>
          <t>NOT OBSERVED</t>
        </is>
      </c>
    </row>
    <row r="17">
      <c r="A17" s="16" t="inlineStr">
        <is>
          <t>L5-A</t>
        </is>
      </c>
      <c r="B17" s="16" t="n">
        <v>5</v>
      </c>
      <c r="C17" s="16" t="inlineStr">
        <is>
          <t>broker_clock.py implements NY-DST +3/+2</t>
        </is>
      </c>
      <c r="D17" s="16" t="inlineStr">
        <is>
          <t>CODE</t>
        </is>
      </c>
      <c r="E17" s="16" t="inlineStr">
        <is>
          <t>NO — this is the artefact being certified</t>
        </is>
      </c>
      <c r="F17" s="16" t="inlineStr">
        <is>
          <t>n/a</t>
        </is>
      </c>
      <c r="G17" s="16" t="inlineStr">
        <is>
          <t>consistent</t>
        </is>
      </c>
      <c r="H17" s="18" t="inlineStr">
        <is>
          <t>NOT APPLICABLE</t>
        </is>
      </c>
    </row>
    <row r="19">
      <c r="A19" s="6" t="inlineStr">
        <is>
          <t>Tally</t>
        </is>
      </c>
    </row>
    <row r="20">
      <c r="A20" s="28" t="inlineStr">
        <is>
          <t>PASS</t>
        </is>
      </c>
      <c r="B20" s="6">
        <f>COUNTIF($H$4:$H$17,"PASS")</f>
        <v/>
      </c>
      <c r="C20" s="28" t="inlineStr">
        <is>
          <t>Independent (HUMAN) rows that PASS:</t>
        </is>
      </c>
      <c r="F20" s="6">
        <f>COUNTIFS($D$4:$D$17,"HUMAN",$H$4:$H$17,"PASS")</f>
        <v/>
      </c>
    </row>
    <row r="21">
      <c r="A21" s="28" t="inlineStr">
        <is>
          <t>FAIL</t>
        </is>
      </c>
      <c r="B21" s="6">
        <f>COUNTIF($H$4:$H$17,"FAIL")</f>
        <v/>
      </c>
      <c r="C21" s="28" t="inlineStr">
        <is>
          <t>Independent (HUMAN) rows total:</t>
        </is>
      </c>
      <c r="F21" s="6">
        <f>COUNTIF($D$4:$D$17,"HUMAN")</f>
        <v/>
      </c>
    </row>
    <row r="22">
      <c r="A22" s="28" t="inlineStr">
        <is>
          <t>NOT OBSERVED</t>
        </is>
      </c>
      <c r="B22" s="6">
        <f>COUNTIF($H$4:$H$17,"NOT OBSERVED")</f>
        <v/>
      </c>
    </row>
    <row r="23">
      <c r="A23" s="7" t="inlineStr">
        <is>
          <t>A conclusion resting only on ASSISTANT-produced rows is INFERRED, not CORROBORATED. Level 1 is what upgrades it.</t>
        </is>
      </c>
      <c r="B23" s="6">
        <f>COUNTIF($H$4:$H$17,"NOT APPLICABLE")</f>
        <v/>
      </c>
    </row>
  </sheetData>
  <dataValidations count="1">
    <dataValidation sqref="H4:H17" showDropDown="0" showInputMessage="0" showErrorMessage="0" allowBlank="1" type="list">
      <formula1>"PASS,FAIL,NOT OBSERVED,NOT APPLICABLE"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56" customWidth="1" min="2" max="2"/>
  </cols>
  <sheetData>
    <row r="1">
      <c r="A1" s="5" t="inlineStr">
        <is>
          <t>CONCLUSION — written and signed by the reviewer</t>
        </is>
      </c>
    </row>
    <row r="2">
      <c r="A2" s="7" t="inlineStr">
        <is>
          <t>STATUS: UNSIGNED</t>
        </is>
      </c>
    </row>
    <row r="4">
      <c r="A4" s="6" t="inlineStr">
        <is>
          <t>Observed offset, winter</t>
        </is>
      </c>
      <c r="B4" s="29" t="n"/>
    </row>
    <row r="5">
      <c r="A5" s="6" t="inlineStr">
        <is>
          <t>Observed offset, summer</t>
        </is>
      </c>
      <c r="B5" s="29" t="n"/>
    </row>
    <row r="6">
      <c r="A6" s="6" t="inlineStr">
        <is>
          <t>US-DST-on / EU-DST-off discriminator result</t>
        </is>
      </c>
      <c r="B6" s="29" t="n"/>
    </row>
    <row r="7">
      <c r="A7" s="6" t="inlineStr">
        <is>
          <t>DST rule concluded</t>
        </is>
      </c>
      <c r="B7" s="29" t="n"/>
    </row>
    <row r="8">
      <c r="A8" s="6" t="inlineStr">
        <is>
          <t>Evidence strength (DIRECT / CORROBORATED / INFERRED)</t>
        </is>
      </c>
      <c r="B8" s="29" t="n"/>
    </row>
    <row r="9">
      <c r="A9" s="6" t="inlineStr">
        <is>
          <t>Reviewed by</t>
        </is>
      </c>
      <c r="B9" s="29" t="n"/>
    </row>
    <row r="10">
      <c r="A10" s="6" t="inlineStr">
        <is>
          <t>Date</t>
        </is>
      </c>
      <c r="B10" s="29" t="n"/>
    </row>
    <row r="11">
      <c r="A11" s="6" t="inlineStr">
        <is>
          <t>Governance status (UNSIGNED / SIGNED)</t>
        </is>
      </c>
      <c r="B11" s="29" t="n"/>
    </row>
    <row r="14">
      <c r="A14" s="6" t="inlineStr">
        <is>
          <t>Proposed statement, IF the Level 1 readings agree with Levels 2-4:</t>
        </is>
      </c>
    </row>
    <row r="15" ht="46" customHeight="1">
      <c r="A15" s="2" t="inlineStr">
        <is>
          <t>data/mt5/XAUUSD_M15.csv timestamps are MT5 broker-server local time: UTC+3 during US daylight saving, UTC+2 during US standard time, following America/New_York transitions. Scoped to this corpus.</t>
        </is>
      </c>
    </row>
    <row r="17">
      <c r="A17" s="6" t="inlineStr">
        <is>
          <t>Declaration command (run only after signing):</t>
        </is>
      </c>
    </row>
    <row r="18">
      <c r="A18" s="30" t="inlineStr">
        <is>
          <t>python scripts/governance/review_ohlcv_clocks.py --review data/mt5/XAUUSD_M15.csv --timezone MT5_SERVER_NY_DST --reviewed-by "&lt;you&gt;"</t>
        </is>
      </c>
    </row>
    <row r="20" ht="32" customHeight="1">
      <c r="A20" s="4" t="inlineStr">
        <is>
          <t>Reminder: this answers Question A only. feature_pipeline.session_timestamp_basis stays broker_local and is a separate, explicitly gated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2026-08-15T10:16:17Z</dcterms:created>
  <dcterms:modified xmlns:dcterms="http://purl.org/dc/terms/" xmlns:xsi="http://www.w3.org/2001/XMLSchema-instance" xsi:type="dcterms:W3CDTF">2026-08-15T10:16:17Z</dcterms:modified>
</cp:coreProperties>
</file>